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12581538\Desktop\DP2020\"/>
    </mc:Choice>
  </mc:AlternateContent>
  <xr:revisionPtr revIDLastSave="0" documentId="13_ncr:1_{60C482FB-7B10-43E9-B6F7-78754B237A95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KBA Members - Contribution" sheetId="1" r:id="rId1"/>
    <sheet name="Cash Inflow &amp; Outflow - DP 2020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3" l="1"/>
  <c r="C19" i="3"/>
  <c r="C12" i="3"/>
  <c r="V18" i="1" l="1"/>
  <c r="V16" i="1"/>
  <c r="V17" i="1" l="1"/>
  <c r="V15" i="1"/>
  <c r="V14" i="1"/>
  <c r="V13" i="1"/>
  <c r="V12" i="1"/>
  <c r="V11" i="1"/>
  <c r="V10" i="1"/>
  <c r="V9" i="1"/>
  <c r="V8" i="1"/>
  <c r="V7" i="1"/>
  <c r="V20" i="1" l="1"/>
</calcChain>
</file>

<file path=xl/sharedStrings.xml><?xml version="1.0" encoding="utf-8"?>
<sst xmlns="http://schemas.openxmlformats.org/spreadsheetml/2006/main" count="95" uniqueCount="50">
  <si>
    <t>Bank Transfer</t>
  </si>
  <si>
    <t>Total (in PLN)</t>
  </si>
  <si>
    <t>Monthly</t>
  </si>
  <si>
    <t>One-Time</t>
  </si>
  <si>
    <t>Type</t>
  </si>
  <si>
    <t>Mode</t>
  </si>
  <si>
    <t>Medium</t>
  </si>
  <si>
    <t>Core Committee</t>
  </si>
  <si>
    <t>Yes</t>
  </si>
  <si>
    <t>Sum</t>
  </si>
  <si>
    <t>Per Member</t>
  </si>
  <si>
    <t>Debdutta Bhattacharya</t>
  </si>
  <si>
    <t>No</t>
  </si>
  <si>
    <t>KBA</t>
  </si>
  <si>
    <t>Contribution Calendar (in PLN)</t>
  </si>
  <si>
    <t>Membership 
Fee</t>
  </si>
  <si>
    <t>Anupam Das</t>
  </si>
  <si>
    <t>Sanchari Bhattacharya</t>
  </si>
  <si>
    <t>Satabdi Majumdar</t>
  </si>
  <si>
    <t>Amitabha Das</t>
  </si>
  <si>
    <t>Amit Kumar Roy</t>
  </si>
  <si>
    <t>Saikat Mishra</t>
  </si>
  <si>
    <t>Rohandeep Konge</t>
  </si>
  <si>
    <t>Binayak Adhikari</t>
  </si>
  <si>
    <t>Amitava Sarkar</t>
  </si>
  <si>
    <t>Goutam Sarkar</t>
  </si>
  <si>
    <t>Amlan Barua</t>
  </si>
  <si>
    <t xml:space="preserve">Grand Total </t>
  </si>
  <si>
    <t>Serial Number</t>
  </si>
  <si>
    <t>Member Type</t>
  </si>
  <si>
    <t>Member Names</t>
  </si>
  <si>
    <t>Member</t>
  </si>
  <si>
    <t>KBA Members</t>
  </si>
  <si>
    <t>Durga Pujo 2020 - KBA Members Contributions</t>
  </si>
  <si>
    <t>Expenses</t>
  </si>
  <si>
    <t>Cash Inflow &amp; Outflow - Durga Pujo 2020</t>
  </si>
  <si>
    <t>Transfer Details</t>
  </si>
  <si>
    <t>Cash Inflow:-</t>
  </si>
  <si>
    <t>Amount (in PLN)</t>
  </si>
  <si>
    <t>Cash Contributions</t>
  </si>
  <si>
    <t>Total Cash Inflow</t>
  </si>
  <si>
    <t>Cash Outflow:-</t>
  </si>
  <si>
    <t>Total Cash Outflow</t>
  </si>
  <si>
    <t>Funds Available:-</t>
  </si>
  <si>
    <t>Fund at Treasury</t>
  </si>
  <si>
    <t>KBA Member's voluntary contributions</t>
  </si>
  <si>
    <t>Non-members contributions (placeholder)</t>
  </si>
  <si>
    <t>Pradeep bought in India (to Sanchari)</t>
  </si>
  <si>
    <t>Makro Bill - Disposable Plates for 1st GBM Meeting (to Amitava)</t>
  </si>
  <si>
    <r>
      <t xml:space="preserve">Transport Cost for Durga Protima (to Germany by KBA)
       - 430 Euro (from Amitava) x 4.240 = 1823.20 PLN
       - 470 Euro                              x 4.265 = 2004.55 PLN
       - 1100 Euro                            x 4.260 = 4686.00 PLN
</t>
    </r>
    <r>
      <rPr>
        <sz val="11"/>
        <color rgb="FF0000FF"/>
        <rFont val="Calibri"/>
        <family val="2"/>
        <scheme val="minor"/>
      </rPr>
      <t>Note: 1 Euro = 4.24 PLN (as on 17-Jan-2020 on Google)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</si>
</sst>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17" fontId="1" fillId="0" borderId="0" xfId="0" applyNumberFormat="1" applyFont="1" applyBorder="1" applyAlignment="1">
      <alignment horizontal="center" vertical="center" textRotation="90" shrinkToFit="1"/>
    </xf>
    <xf numFmtId="0" fontId="0" fillId="0" borderId="1" xfId="0" applyBorder="1"/>
    <xf numFmtId="17" fontId="0" fillId="4" borderId="1" xfId="0" applyNumberFormat="1" applyFont="1" applyFill="1" applyBorder="1" applyAlignment="1">
      <alignment horizontal="center" vertical="center" textRotation="90" shrinkToFit="1"/>
    </xf>
    <xf numFmtId="0" fontId="0" fillId="0" borderId="0" xfId="0" applyBorder="1"/>
    <xf numFmtId="17" fontId="0" fillId="4" borderId="4" xfId="0" applyNumberFormat="1" applyFont="1" applyFill="1" applyBorder="1" applyAlignment="1">
      <alignment horizontal="center" vertical="center" wrapText="1" shrinkToFit="1"/>
    </xf>
    <xf numFmtId="17" fontId="0" fillId="4" borderId="4" xfId="0" applyNumberFormat="1" applyFont="1" applyFill="1" applyBorder="1" applyAlignment="1">
      <alignment horizontal="center" vertical="center" textRotation="90" shrinkToFit="1"/>
    </xf>
    <xf numFmtId="17" fontId="0" fillId="4" borderId="2" xfId="0" applyNumberFormat="1" applyFont="1" applyFill="1" applyBorder="1" applyAlignment="1">
      <alignment horizontal="center" vertical="center" textRotation="90" shrinkToFit="1"/>
    </xf>
    <xf numFmtId="0" fontId="1" fillId="2" borderId="1" xfId="0" applyFont="1" applyFill="1" applyBorder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 shrinkToFit="1"/>
    </xf>
    <xf numFmtId="17" fontId="1" fillId="2" borderId="1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  <xf numFmtId="0" fontId="2" fillId="0" borderId="0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indent="2"/>
    </xf>
    <xf numFmtId="0" fontId="0" fillId="0" borderId="1" xfId="0" applyBorder="1" applyAlignment="1">
      <alignment horizontal="left" vertical="top" indent="3"/>
    </xf>
    <xf numFmtId="0" fontId="3" fillId="0" borderId="1" xfId="0" applyFont="1" applyBorder="1" applyAlignment="1">
      <alignment horizontal="left" vertical="top"/>
    </xf>
    <xf numFmtId="0" fontId="0" fillId="0" borderId="0" xfId="0" applyBorder="1" applyAlignment="1">
      <alignment horizontal="left" vertical="top" indent="3"/>
    </xf>
    <xf numFmtId="0" fontId="0" fillId="0" borderId="0" xfId="0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 indent="2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0"/>
  <sheetViews>
    <sheetView topLeftCell="H11" workbookViewId="0">
      <selection activeCell="V26" sqref="V26"/>
    </sheetView>
  </sheetViews>
  <sheetFormatPr defaultRowHeight="14.5" x14ac:dyDescent="0.35"/>
  <cols>
    <col min="3" max="3" width="24.7265625" customWidth="1"/>
    <col min="4" max="4" width="16.90625" customWidth="1"/>
    <col min="5" max="5" width="13.7265625" customWidth="1"/>
    <col min="6" max="6" width="6.7265625" customWidth="1"/>
    <col min="7" max="7" width="6.1796875" customWidth="1"/>
    <col min="8" max="8" width="16.1796875" customWidth="1"/>
    <col min="9" max="9" width="5" bestFit="1" customWidth="1"/>
    <col min="10" max="10" width="4.7265625" customWidth="1"/>
    <col min="11" max="20" width="4.7265625" bestFit="1" customWidth="1"/>
    <col min="21" max="21" width="4.7265625" customWidth="1"/>
    <col min="22" max="22" width="19.54296875" customWidth="1"/>
  </cols>
  <sheetData>
    <row r="1" spans="2:23" x14ac:dyDescent="0.35">
      <c r="F1" s="5"/>
      <c r="G1" s="5"/>
      <c r="H1" s="5"/>
    </row>
    <row r="2" spans="2:23" ht="31" x14ac:dyDescent="0.7">
      <c r="B2" s="19" t="s">
        <v>33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20"/>
    </row>
    <row r="3" spans="2:23" x14ac:dyDescent="0.35">
      <c r="F3" s="5"/>
      <c r="G3" s="5"/>
      <c r="H3" s="5"/>
    </row>
    <row r="4" spans="2:23" ht="18.75" customHeight="1" x14ac:dyDescent="0.45">
      <c r="B4" s="28" t="s">
        <v>32</v>
      </c>
      <c r="C4" s="29"/>
      <c r="D4" s="30"/>
      <c r="E4" s="21" t="s">
        <v>36</v>
      </c>
      <c r="F4" s="22"/>
      <c r="G4" s="23"/>
      <c r="H4" s="26" t="s">
        <v>14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V4" s="10" t="s">
        <v>1</v>
      </c>
    </row>
    <row r="5" spans="2:23" ht="37" x14ac:dyDescent="0.35">
      <c r="B5" s="31"/>
      <c r="C5" s="32"/>
      <c r="D5" s="33"/>
      <c r="E5" s="9" t="s">
        <v>4</v>
      </c>
      <c r="F5" s="24" t="s">
        <v>5</v>
      </c>
      <c r="G5" s="25"/>
      <c r="H5" s="12" t="s">
        <v>15</v>
      </c>
      <c r="I5" s="27">
        <v>2019</v>
      </c>
      <c r="J5" s="25"/>
      <c r="K5" s="24">
        <v>2020</v>
      </c>
      <c r="L5" s="27"/>
      <c r="M5" s="27"/>
      <c r="N5" s="27"/>
      <c r="O5" s="27"/>
      <c r="P5" s="27"/>
      <c r="Q5" s="27"/>
      <c r="R5" s="27"/>
      <c r="S5" s="27"/>
      <c r="T5" s="25"/>
      <c r="V5" s="11" t="s">
        <v>10</v>
      </c>
    </row>
    <row r="6" spans="2:23" ht="70.5" customHeight="1" x14ac:dyDescent="0.35">
      <c r="B6" s="6" t="s">
        <v>28</v>
      </c>
      <c r="C6" s="6" t="s">
        <v>30</v>
      </c>
      <c r="D6" s="6" t="s">
        <v>29</v>
      </c>
      <c r="E6" s="6" t="s">
        <v>6</v>
      </c>
      <c r="F6" s="7" t="s">
        <v>2</v>
      </c>
      <c r="G6" s="7" t="s">
        <v>3</v>
      </c>
      <c r="H6" s="7" t="s">
        <v>13</v>
      </c>
      <c r="I6" s="7">
        <v>43770</v>
      </c>
      <c r="J6" s="7">
        <v>43800</v>
      </c>
      <c r="K6" s="4">
        <v>43831</v>
      </c>
      <c r="L6" s="4">
        <v>43862</v>
      </c>
      <c r="M6" s="4">
        <v>43891</v>
      </c>
      <c r="N6" s="4">
        <v>43922</v>
      </c>
      <c r="O6" s="4">
        <v>43952</v>
      </c>
      <c r="P6" s="4">
        <v>43983</v>
      </c>
      <c r="Q6" s="4">
        <v>44013</v>
      </c>
      <c r="R6" s="4">
        <v>44044</v>
      </c>
      <c r="S6" s="8">
        <v>44075</v>
      </c>
      <c r="T6" s="4">
        <v>44105</v>
      </c>
      <c r="V6" s="4" t="s">
        <v>9</v>
      </c>
      <c r="W6" s="2"/>
    </row>
    <row r="7" spans="2:23" x14ac:dyDescent="0.35">
      <c r="B7" s="1">
        <v>1</v>
      </c>
      <c r="C7" s="3" t="s">
        <v>16</v>
      </c>
      <c r="D7" s="1" t="s">
        <v>7</v>
      </c>
      <c r="E7" s="13" t="s">
        <v>0</v>
      </c>
      <c r="F7" s="1" t="s">
        <v>12</v>
      </c>
      <c r="G7" s="1" t="s">
        <v>8</v>
      </c>
      <c r="H7" s="1">
        <v>200</v>
      </c>
      <c r="I7" s="16">
        <v>1500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8"/>
      <c r="V7" s="1">
        <f>SUM(H7:T7)</f>
        <v>1700</v>
      </c>
    </row>
    <row r="8" spans="2:23" x14ac:dyDescent="0.35">
      <c r="B8" s="1">
        <v>2</v>
      </c>
      <c r="C8" s="3" t="s">
        <v>11</v>
      </c>
      <c r="D8" s="1" t="s">
        <v>7</v>
      </c>
      <c r="E8" s="1" t="s">
        <v>0</v>
      </c>
      <c r="F8" s="1" t="s">
        <v>8</v>
      </c>
      <c r="G8" s="1" t="s">
        <v>12</v>
      </c>
      <c r="H8" s="1">
        <v>200</v>
      </c>
      <c r="I8" s="1">
        <v>125</v>
      </c>
      <c r="J8" s="1">
        <v>125</v>
      </c>
      <c r="K8" s="1">
        <v>125</v>
      </c>
      <c r="L8" s="1"/>
      <c r="M8" s="1"/>
      <c r="N8" s="1"/>
      <c r="O8" s="1"/>
      <c r="P8" s="1"/>
      <c r="Q8" s="1"/>
      <c r="R8" s="1"/>
      <c r="S8" s="1"/>
      <c r="T8" s="1"/>
      <c r="V8" s="1">
        <f>SUM(H8:T8)</f>
        <v>575</v>
      </c>
    </row>
    <row r="9" spans="2:23" x14ac:dyDescent="0.35">
      <c r="B9" s="1">
        <v>3</v>
      </c>
      <c r="C9" s="3" t="s">
        <v>17</v>
      </c>
      <c r="D9" s="1" t="s">
        <v>7</v>
      </c>
      <c r="E9" s="1" t="s">
        <v>0</v>
      </c>
      <c r="F9" s="1" t="s">
        <v>8</v>
      </c>
      <c r="G9" s="1" t="s">
        <v>12</v>
      </c>
      <c r="H9" s="1">
        <v>200</v>
      </c>
      <c r="I9" s="1">
        <v>125</v>
      </c>
      <c r="J9" s="1">
        <v>125</v>
      </c>
      <c r="K9" s="1">
        <v>125</v>
      </c>
      <c r="L9" s="1">
        <v>125</v>
      </c>
      <c r="M9" s="1">
        <v>125</v>
      </c>
      <c r="N9" s="1"/>
      <c r="O9" s="1"/>
      <c r="P9" s="1"/>
      <c r="Q9" s="1"/>
      <c r="R9" s="1"/>
      <c r="S9" s="1"/>
      <c r="T9" s="1"/>
      <c r="V9" s="1">
        <f>(SUM(H9:T9))</f>
        <v>825</v>
      </c>
    </row>
    <row r="10" spans="2:23" x14ac:dyDescent="0.35">
      <c r="B10" s="1">
        <v>4</v>
      </c>
      <c r="C10" s="3" t="s">
        <v>18</v>
      </c>
      <c r="D10" s="1" t="s">
        <v>31</v>
      </c>
      <c r="E10" s="1" t="s">
        <v>0</v>
      </c>
      <c r="F10" s="1" t="s">
        <v>8</v>
      </c>
      <c r="G10" s="1" t="s">
        <v>12</v>
      </c>
      <c r="H10" s="1">
        <v>200</v>
      </c>
      <c r="I10" s="1">
        <v>125</v>
      </c>
      <c r="J10" s="1">
        <v>125</v>
      </c>
      <c r="K10" s="1">
        <v>125</v>
      </c>
      <c r="L10" s="1"/>
      <c r="M10" s="1"/>
      <c r="N10" s="1"/>
      <c r="O10" s="1"/>
      <c r="P10" s="1"/>
      <c r="Q10" s="1"/>
      <c r="R10" s="1"/>
      <c r="S10" s="1"/>
      <c r="T10" s="1"/>
      <c r="V10" s="1">
        <f t="shared" ref="V10:V18" si="0">SUM((H10:T10))</f>
        <v>575</v>
      </c>
    </row>
    <row r="11" spans="2:23" x14ac:dyDescent="0.35">
      <c r="B11" s="1">
        <v>5</v>
      </c>
      <c r="C11" s="3" t="s">
        <v>19</v>
      </c>
      <c r="D11" s="1" t="s">
        <v>31</v>
      </c>
      <c r="E11" s="1" t="s">
        <v>0</v>
      </c>
      <c r="F11" s="1" t="s">
        <v>12</v>
      </c>
      <c r="G11" s="1" t="s">
        <v>8</v>
      </c>
      <c r="H11" s="1">
        <v>200</v>
      </c>
      <c r="I11" s="16">
        <v>1500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V11" s="1">
        <f t="shared" si="0"/>
        <v>1700</v>
      </c>
    </row>
    <row r="12" spans="2:23" x14ac:dyDescent="0.35">
      <c r="B12" s="1">
        <v>6</v>
      </c>
      <c r="C12" s="3" t="s">
        <v>20</v>
      </c>
      <c r="D12" s="1" t="s">
        <v>31</v>
      </c>
      <c r="E12" s="1" t="s">
        <v>0</v>
      </c>
      <c r="F12" s="1" t="s">
        <v>12</v>
      </c>
      <c r="G12" s="1" t="s">
        <v>8</v>
      </c>
      <c r="H12" s="1">
        <v>200</v>
      </c>
      <c r="I12" s="16">
        <v>1300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V12" s="1">
        <f t="shared" si="0"/>
        <v>1500</v>
      </c>
    </row>
    <row r="13" spans="2:23" x14ac:dyDescent="0.35">
      <c r="B13" s="1">
        <v>7</v>
      </c>
      <c r="C13" s="3" t="s">
        <v>21</v>
      </c>
      <c r="D13" s="1" t="s">
        <v>31</v>
      </c>
      <c r="E13" s="1" t="s">
        <v>0</v>
      </c>
      <c r="F13" s="1" t="s">
        <v>8</v>
      </c>
      <c r="G13" s="1" t="s">
        <v>12</v>
      </c>
      <c r="H13" s="1">
        <v>200</v>
      </c>
      <c r="I13" s="1">
        <v>125</v>
      </c>
      <c r="J13" s="1">
        <v>125</v>
      </c>
      <c r="K13" s="1">
        <v>125</v>
      </c>
      <c r="L13" s="1">
        <v>125</v>
      </c>
      <c r="M13" s="1"/>
      <c r="N13" s="1"/>
      <c r="O13" s="1"/>
      <c r="P13" s="1"/>
      <c r="Q13" s="1"/>
      <c r="R13" s="1"/>
      <c r="S13" s="1"/>
      <c r="T13" s="1"/>
      <c r="V13" s="1">
        <f t="shared" si="0"/>
        <v>700</v>
      </c>
    </row>
    <row r="14" spans="2:23" x14ac:dyDescent="0.35">
      <c r="B14" s="1">
        <v>8</v>
      </c>
      <c r="C14" s="3" t="s">
        <v>22</v>
      </c>
      <c r="D14" s="1" t="s">
        <v>7</v>
      </c>
      <c r="E14" s="1" t="s">
        <v>0</v>
      </c>
      <c r="F14" s="1" t="s">
        <v>8</v>
      </c>
      <c r="G14" s="1" t="s">
        <v>12</v>
      </c>
      <c r="H14" s="1">
        <v>200</v>
      </c>
      <c r="I14" s="1">
        <v>125</v>
      </c>
      <c r="J14" s="1">
        <v>125</v>
      </c>
      <c r="K14" s="1">
        <v>125</v>
      </c>
      <c r="L14" s="1">
        <v>125</v>
      </c>
      <c r="M14" s="1"/>
      <c r="N14" s="1"/>
      <c r="O14" s="1"/>
      <c r="P14" s="1"/>
      <c r="Q14" s="1"/>
      <c r="R14" s="1"/>
      <c r="S14" s="1"/>
      <c r="T14" s="1"/>
      <c r="V14" s="1">
        <f t="shared" si="0"/>
        <v>700</v>
      </c>
    </row>
    <row r="15" spans="2:23" x14ac:dyDescent="0.35">
      <c r="B15" s="1">
        <v>9</v>
      </c>
      <c r="C15" s="3" t="s">
        <v>23</v>
      </c>
      <c r="D15" s="1" t="s">
        <v>31</v>
      </c>
      <c r="E15" s="1" t="s">
        <v>0</v>
      </c>
      <c r="F15" s="1" t="s">
        <v>8</v>
      </c>
      <c r="G15" s="1" t="s">
        <v>12</v>
      </c>
      <c r="H15" s="1">
        <v>200</v>
      </c>
      <c r="I15" s="1">
        <v>125</v>
      </c>
      <c r="J15" s="1">
        <v>125</v>
      </c>
      <c r="K15" s="1">
        <v>125</v>
      </c>
      <c r="L15" s="1">
        <v>125</v>
      </c>
      <c r="M15" s="1">
        <v>125</v>
      </c>
      <c r="N15" s="1"/>
      <c r="O15" s="1"/>
      <c r="P15" s="1"/>
      <c r="Q15" s="1"/>
      <c r="R15" s="1"/>
      <c r="S15" s="1"/>
      <c r="T15" s="1"/>
      <c r="V15" s="1">
        <f t="shared" si="0"/>
        <v>825</v>
      </c>
    </row>
    <row r="16" spans="2:23" x14ac:dyDescent="0.35">
      <c r="B16" s="1">
        <v>10</v>
      </c>
      <c r="C16" s="3" t="s">
        <v>25</v>
      </c>
      <c r="D16" s="1" t="s">
        <v>31</v>
      </c>
      <c r="E16" s="1" t="s">
        <v>0</v>
      </c>
      <c r="F16" s="1" t="s">
        <v>8</v>
      </c>
      <c r="G16" s="1" t="s">
        <v>12</v>
      </c>
      <c r="H16" s="1">
        <v>200</v>
      </c>
      <c r="I16" s="1">
        <v>125</v>
      </c>
      <c r="J16" s="1">
        <v>125</v>
      </c>
      <c r="K16" s="1">
        <v>125</v>
      </c>
      <c r="L16" s="1"/>
      <c r="M16" s="1"/>
      <c r="N16" s="1"/>
      <c r="O16" s="1"/>
      <c r="P16" s="1"/>
      <c r="Q16" s="1"/>
      <c r="R16" s="1"/>
      <c r="S16" s="1"/>
      <c r="T16" s="1"/>
      <c r="V16" s="1">
        <f>SUM((H16:T16))</f>
        <v>575</v>
      </c>
    </row>
    <row r="17" spans="2:22" x14ac:dyDescent="0.35">
      <c r="B17" s="1">
        <v>11</v>
      </c>
      <c r="C17" s="3" t="s">
        <v>24</v>
      </c>
      <c r="D17" s="1" t="s">
        <v>7</v>
      </c>
      <c r="E17" s="1" t="s">
        <v>0</v>
      </c>
      <c r="F17" s="1" t="s">
        <v>8</v>
      </c>
      <c r="G17" s="1" t="s">
        <v>12</v>
      </c>
      <c r="H17" s="1">
        <v>200</v>
      </c>
      <c r="I17" s="1">
        <v>125</v>
      </c>
      <c r="J17" s="1">
        <v>125</v>
      </c>
      <c r="K17" s="1">
        <v>125</v>
      </c>
      <c r="L17" s="1">
        <v>125</v>
      </c>
      <c r="M17" s="3"/>
      <c r="N17" s="3"/>
      <c r="O17" s="3"/>
      <c r="P17" s="3"/>
      <c r="Q17" s="3"/>
      <c r="R17" s="3"/>
      <c r="S17" s="3"/>
      <c r="T17" s="3"/>
      <c r="V17" s="1">
        <f t="shared" si="0"/>
        <v>700</v>
      </c>
    </row>
    <row r="18" spans="2:22" x14ac:dyDescent="0.35">
      <c r="B18" s="1">
        <v>12</v>
      </c>
      <c r="C18" s="14" t="s">
        <v>26</v>
      </c>
      <c r="D18" s="1" t="s">
        <v>7</v>
      </c>
      <c r="E18" s="1" t="s">
        <v>0</v>
      </c>
      <c r="F18" s="1" t="s">
        <v>8</v>
      </c>
      <c r="G18" s="1" t="s">
        <v>12</v>
      </c>
      <c r="H18" s="1">
        <v>0</v>
      </c>
      <c r="I18" s="1">
        <v>125</v>
      </c>
      <c r="J18" s="1">
        <v>125</v>
      </c>
      <c r="K18" s="1">
        <v>125</v>
      </c>
      <c r="L18" s="3"/>
      <c r="M18" s="3"/>
      <c r="N18" s="3"/>
      <c r="O18" s="3"/>
      <c r="P18" s="3"/>
      <c r="Q18" s="3"/>
      <c r="R18" s="3"/>
      <c r="S18" s="3"/>
      <c r="T18" s="3"/>
      <c r="V18" s="1">
        <f t="shared" si="0"/>
        <v>375</v>
      </c>
    </row>
    <row r="20" spans="2:22" x14ac:dyDescent="0.35">
      <c r="B20" s="57" t="s">
        <v>27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V20" s="53">
        <f>SUM(V7:V18)</f>
        <v>10750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B20:T20"/>
    <mergeCell ref="I7:T7"/>
    <mergeCell ref="I11:T11"/>
    <mergeCell ref="I12:T12"/>
    <mergeCell ref="B2:V2"/>
    <mergeCell ref="E4:G4"/>
    <mergeCell ref="F5:G5"/>
    <mergeCell ref="H4:T4"/>
    <mergeCell ref="I5:J5"/>
    <mergeCell ref="B4:D5"/>
    <mergeCell ref="K5:T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0E35-14B7-4062-9082-25E52473784D}">
  <dimension ref="B2:AC19"/>
  <sheetViews>
    <sheetView tabSelected="1" topLeftCell="A7" workbookViewId="0">
      <selection activeCell="G14" sqref="G14"/>
    </sheetView>
  </sheetViews>
  <sheetFormatPr defaultRowHeight="14.5" x14ac:dyDescent="0.35"/>
  <cols>
    <col min="2" max="2" width="59.7265625" bestFit="1" customWidth="1"/>
    <col min="3" max="3" width="20.08984375" customWidth="1"/>
    <col min="5" max="5" width="19.36328125" bestFit="1" customWidth="1"/>
    <col min="6" max="6" width="18.6328125" bestFit="1" customWidth="1"/>
  </cols>
  <sheetData>
    <row r="2" spans="2:29" ht="15" thickBot="1" x14ac:dyDescent="0.4"/>
    <row r="3" spans="2:29" ht="31.5" thickBot="1" x14ac:dyDescent="0.75">
      <c r="B3" s="34" t="s">
        <v>35</v>
      </c>
      <c r="C3" s="35"/>
      <c r="D3" s="35"/>
      <c r="E3" s="35"/>
      <c r="F3" s="36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5"/>
      <c r="X3" s="5"/>
      <c r="Y3" s="5"/>
      <c r="Z3" s="5"/>
      <c r="AA3" s="5"/>
      <c r="AB3" s="5"/>
      <c r="AC3" s="5"/>
    </row>
    <row r="5" spans="2:29" x14ac:dyDescent="0.35">
      <c r="B5" t="s">
        <v>34</v>
      </c>
      <c r="C5">
        <v>3000</v>
      </c>
    </row>
    <row r="6" spans="2:29" x14ac:dyDescent="0.35">
      <c r="C6">
        <v>5000</v>
      </c>
    </row>
    <row r="8" spans="2:29" ht="18.5" x14ac:dyDescent="0.35">
      <c r="B8" s="41" t="s">
        <v>37</v>
      </c>
      <c r="C8" s="42" t="s">
        <v>38</v>
      </c>
      <c r="E8" s="55" t="s">
        <v>43</v>
      </c>
      <c r="F8" s="56" t="s">
        <v>38</v>
      </c>
    </row>
    <row r="9" spans="2:29" x14ac:dyDescent="0.35">
      <c r="B9" s="45" t="s">
        <v>39</v>
      </c>
      <c r="C9" s="38"/>
      <c r="E9" s="54" t="s">
        <v>44</v>
      </c>
      <c r="F9" s="52">
        <f>C12-C19</f>
        <v>2082.0499999999993</v>
      </c>
    </row>
    <row r="10" spans="2:29" x14ac:dyDescent="0.35">
      <c r="B10" s="44" t="s">
        <v>45</v>
      </c>
      <c r="C10" s="38">
        <v>10750</v>
      </c>
    </row>
    <row r="11" spans="2:29" x14ac:dyDescent="0.35">
      <c r="B11" s="44" t="s">
        <v>46</v>
      </c>
      <c r="C11" s="38">
        <v>0</v>
      </c>
    </row>
    <row r="12" spans="2:29" x14ac:dyDescent="0.35">
      <c r="B12" s="48" t="s">
        <v>40</v>
      </c>
      <c r="C12" s="49">
        <f>(SUM(C10:C11))</f>
        <v>10750</v>
      </c>
    </row>
    <row r="13" spans="2:29" x14ac:dyDescent="0.35">
      <c r="B13" s="46"/>
      <c r="C13" s="47"/>
    </row>
    <row r="14" spans="2:29" x14ac:dyDescent="0.35">
      <c r="B14" s="40"/>
      <c r="C14" s="39"/>
    </row>
    <row r="15" spans="2:29" ht="18.5" x14ac:dyDescent="0.35">
      <c r="B15" s="41" t="s">
        <v>41</v>
      </c>
      <c r="C15" s="42" t="s">
        <v>38</v>
      </c>
    </row>
    <row r="16" spans="2:29" ht="101.5" x14ac:dyDescent="0.35">
      <c r="B16" s="37" t="s">
        <v>49</v>
      </c>
      <c r="C16" s="38">
        <v>8513.75</v>
      </c>
    </row>
    <row r="17" spans="2:3" x14ac:dyDescent="0.35">
      <c r="B17" s="43" t="s">
        <v>47</v>
      </c>
      <c r="C17" s="38">
        <v>121</v>
      </c>
    </row>
    <row r="18" spans="2:3" x14ac:dyDescent="0.35">
      <c r="B18" s="43" t="s">
        <v>48</v>
      </c>
      <c r="C18" s="38">
        <v>33.200000000000003</v>
      </c>
    </row>
    <row r="19" spans="2:3" x14ac:dyDescent="0.35">
      <c r="B19" s="50" t="s">
        <v>42</v>
      </c>
      <c r="C19" s="51">
        <f>(SUM(C16:C18))</f>
        <v>8667.9500000000007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KBA Members - Contribution</vt:lpstr>
      <vt:lpstr>Cash Inflow &amp; Outflow - DP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Amitava Sarkar</dc:creator>
  <cp:lastModifiedBy>Sarkar, Amitava (GE Healthcare)</cp:lastModifiedBy>
  <dcterms:created xsi:type="dcterms:W3CDTF">2006-09-16T00:00:00Z</dcterms:created>
  <dcterms:modified xsi:type="dcterms:W3CDTF">2020-01-26T01:18:02Z</dcterms:modified>
  <cp:contentStatus/>
</cp:coreProperties>
</file>